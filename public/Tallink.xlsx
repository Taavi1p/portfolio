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5"/>
    <sheet state="visible" name="main" sheetId="2" r:id="rId6"/>
    <sheet state="visible" name="graphs" sheetId="3" r:id="rId7"/>
  </sheets>
  <definedNames/>
  <calcPr/>
</workbook>
</file>

<file path=xl/sharedStrings.xml><?xml version="1.0" encoding="utf-8"?>
<sst xmlns="http://schemas.openxmlformats.org/spreadsheetml/2006/main" count="116" uniqueCount="104">
  <si>
    <t>Model (EUR) (thousands)</t>
  </si>
  <si>
    <t>timestamp</t>
  </si>
  <si>
    <t>2019Y</t>
  </si>
  <si>
    <t>2020Y</t>
  </si>
  <si>
    <t>2021Y</t>
  </si>
  <si>
    <t>2022Y</t>
  </si>
  <si>
    <t>2023Y</t>
  </si>
  <si>
    <t>2024Y</t>
  </si>
  <si>
    <t>2025Y</t>
  </si>
  <si>
    <t>2026Y</t>
  </si>
  <si>
    <t>2027Y</t>
  </si>
  <si>
    <t>2028Y</t>
  </si>
  <si>
    <t>2029Y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</si>
  <si>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</si>
  <si>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</si>
  <si>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</si>
  <si>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</si>
  <si>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</si>
  <si>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</si>
  <si>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</si>
  <si>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</si>
  <si>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</si>
  <si>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</si>
  <si>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</si>
  <si>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</si>
  <si>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</si>
  <si>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</si>
  <si>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</si>
  <si>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</si>
  <si>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</si>
  <si>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</si>
  <si>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</si>
  <si>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</si>
  <si>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</si>
  <si>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</si>
  <si>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</si>
  <si>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</si>
  <si>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</si>
  <si>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</si>
  <si>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</si>
  <si>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</si>
  <si>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</si>
  <si>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</si>
  <si>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</si>
  <si>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</si>
  <si>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</si>
  <si>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</si>
  <si>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</si>
  <si>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</si>
  <si>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est-fin</t>
  </si>
  <si>
    <t>est-swe</t>
  </si>
  <si>
    <t>fin-swe</t>
  </si>
  <si>
    <t>lat-swe</t>
  </si>
  <si>
    <t>passengers</t>
  </si>
  <si>
    <t>ticket sales</t>
  </si>
  <si>
    <t>average ticket price</t>
  </si>
  <si>
    <t>onboard shops</t>
  </si>
  <si>
    <t xml:space="preserve">cargo </t>
  </si>
  <si>
    <t>ship routes</t>
  </si>
  <si>
    <t>other</t>
  </si>
  <si>
    <t>revenue</t>
  </si>
  <si>
    <t>growth y/y</t>
  </si>
  <si>
    <t>cost of goods</t>
  </si>
  <si>
    <t>port &amp; stevedoring</t>
  </si>
  <si>
    <t>fuel</t>
  </si>
  <si>
    <t>gross profit</t>
  </si>
  <si>
    <t>gross margin</t>
  </si>
  <si>
    <t>staff</t>
  </si>
  <si>
    <t>M&amp;A</t>
  </si>
  <si>
    <t>ship operating</t>
  </si>
  <si>
    <t>total operation cost</t>
  </si>
  <si>
    <t>depriciation &amp; amortization</t>
  </si>
  <si>
    <t>finance cost</t>
  </si>
  <si>
    <t>total cost</t>
  </si>
  <si>
    <t>net profit</t>
  </si>
  <si>
    <t>net profit growth</t>
  </si>
  <si>
    <t>net profit margin</t>
  </si>
  <si>
    <t>EBITDA</t>
  </si>
  <si>
    <t>EBITDA margin</t>
  </si>
  <si>
    <t>total debt</t>
  </si>
  <si>
    <t>average share price</t>
  </si>
  <si>
    <t>Main</t>
  </si>
  <si>
    <t>products they offer</t>
  </si>
  <si>
    <t>Prices</t>
  </si>
  <si>
    <t>1. estonia-finland route</t>
  </si>
  <si>
    <t>shares</t>
  </si>
  <si>
    <t>2. estonia-sweden route</t>
  </si>
  <si>
    <t>MC</t>
  </si>
  <si>
    <t>3. finland-sweden route</t>
  </si>
  <si>
    <t>cash</t>
  </si>
  <si>
    <t>4. lat-swe route</t>
  </si>
  <si>
    <t>5. other</t>
  </si>
  <si>
    <t>EV</t>
  </si>
  <si>
    <t>revenue is also subcategorised by:</t>
  </si>
  <si>
    <t>1. Restaurant and shop sales on-board and onshore</t>
  </si>
  <si>
    <t>2. ticket sales</t>
  </si>
  <si>
    <t>3. cargo transportation</t>
  </si>
  <si>
    <t>4. accomodation sales</t>
  </si>
  <si>
    <t>5. vessel charters</t>
  </si>
  <si>
    <t>6. other</t>
  </si>
  <si>
    <t>4 hotels: 3 tallinn 1 riga</t>
  </si>
  <si>
    <t>discontinued the lat-swe line in 2021</t>
  </si>
  <si>
    <t>e margin avg</t>
  </si>
  <si>
    <t>share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</si>
</sst>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ck">
        <color rgb="FF999999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0" fontId="1" numFmtId="164" xfId="0" applyBorder="1" applyFont="1" applyNumberFormat="1"/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3" numFmtId="10" xfId="0" applyFont="1" applyNumberFormat="1"/>
    <xf borderId="0" fillId="0" fontId="1" numFmtId="10" xfId="0" applyFont="1" applyNumberFormat="1"/>
    <xf borderId="1" fillId="0" fontId="1" numFmtId="10" xfId="0" applyBorder="1" applyFont="1" applyNumberFormat="1"/>
    <xf borderId="0" fillId="2" fontId="1" numFmtId="10" xfId="0" applyFill="1" applyFont="1" applyNumberFormat="1"/>
    <xf borderId="1" fillId="2" fontId="1" numFmtId="10" xfId="0" applyBorder="1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2" numFmtId="164" xfId="0" applyFont="1" applyNumberFormat="1"/>
    <xf borderId="1" fillId="0" fontId="2" numFmtId="164" xfId="0" applyBorder="1" applyFont="1" applyNumberFormat="1"/>
    <xf borderId="1" fillId="0" fontId="3" numFmtId="10" xfId="0" applyBorder="1" applyFont="1" applyNumberFormat="1"/>
    <xf borderId="1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EBITDA margin vs share price</a:t>
            </a:r>
          </a:p>
        </c:rich>
      </c:tx>
      <c:overlay val="0"/>
    </c:title>
    <c:plotArea>
      <c:layout/>
      <c:lineChart>
        <c:ser>
          <c:idx val="0"/>
          <c:order val="0"/>
          <c:tx>
            <c:v>EBITDA marign (normalized)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graphs!$B$5:$H$5</c:f>
            </c:strRef>
          </c:cat>
          <c:val>
            <c:numRef>
              <c:f>graphs!$B$6:$H$6</c:f>
              <c:numCache/>
            </c:numRef>
          </c:val>
          <c:smooth val="1"/>
        </c:ser>
        <c:ser>
          <c:idx val="1"/>
          <c:order val="1"/>
          <c:tx>
            <c:v>share price (normalized)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graphs!$B$5:$H$5</c:f>
            </c:strRef>
          </c:cat>
          <c:val>
            <c:numRef>
              <c:f>graphs!$B$7:$H$7</c:f>
              <c:numCache/>
            </c:numRef>
          </c:val>
          <c:smooth val="1"/>
        </c:ser>
        <c:axId val="166814971"/>
        <c:axId val="886420099"/>
      </c:lineChart>
      <c:catAx>
        <c:axId val="166814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420099"/>
      </c:catAx>
      <c:valAx>
        <c:axId val="886420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14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debt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model!$A$37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model!$B$2:$H$2</c:f>
            </c:strRef>
          </c:cat>
          <c:val>
            <c:numRef>
              <c:f>model!$B$37:$H$37</c:f>
              <c:numCache/>
            </c:numRef>
          </c:val>
          <c:smooth val="1"/>
        </c:ser>
        <c:ser>
          <c:idx val="1"/>
          <c:order val="1"/>
          <c:tx>
            <c:strRef>
              <c:f>model!$A$14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model!$B$2:$H$2</c:f>
            </c:strRef>
          </c:cat>
          <c:val>
            <c:numRef>
              <c:f>model!$B$14:$H$14</c:f>
              <c:numCache/>
            </c:numRef>
          </c:val>
          <c:smooth val="1"/>
        </c:ser>
        <c:axId val="527378923"/>
        <c:axId val="1079266661"/>
      </c:lineChart>
      <c:catAx>
        <c:axId val="527378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266661"/>
      </c:catAx>
      <c:valAx>
        <c:axId val="1079266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debt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378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15</xdr:row>
      <xdr:rowOff>171450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76200</xdr:colOff>
      <xdr:row>35</xdr:row>
      <xdr:rowOff>38100</xdr:rowOff>
    </xdr:from>
    <xdr:ext cx="5715000" cy="3533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>
      <c r="A2" s="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/>
      <c r="N2" s="4"/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6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4" t="s">
        <v>9</v>
      </c>
      <c r="AV2" s="1" t="s">
        <v>45</v>
      </c>
      <c r="AW2" s="1" t="s">
        <v>46</v>
      </c>
      <c r="AX2" s="1" t="s">
        <v>47</v>
      </c>
      <c r="AY2" s="1" t="s">
        <v>48</v>
      </c>
      <c r="AZ2" s="4" t="s">
        <v>10</v>
      </c>
      <c r="BA2" s="4"/>
      <c r="BB2" s="4"/>
      <c r="BC2" s="4"/>
    </row>
    <row r="3">
      <c r="A3" s="1" t="s">
        <v>49</v>
      </c>
      <c r="B3" s="7">
        <v>354000.0</v>
      </c>
      <c r="C3" s="1">
        <v>200400.0</v>
      </c>
      <c r="D3" s="1">
        <v>184000.0</v>
      </c>
      <c r="E3" s="1">
        <v>277000.0</v>
      </c>
      <c r="F3" s="1">
        <v>297000.0</v>
      </c>
      <c r="G3" s="1">
        <v>312000.0</v>
      </c>
      <c r="H3" s="6">
        <v>314000.0</v>
      </c>
      <c r="I3" s="1"/>
      <c r="J3" s="1"/>
      <c r="K3" s="1"/>
      <c r="L3" s="1"/>
      <c r="M3" s="1"/>
      <c r="N3" s="1"/>
      <c r="O3" s="7"/>
      <c r="P3" s="7"/>
      <c r="Q3" s="7"/>
      <c r="R3" s="7"/>
      <c r="S3" s="7"/>
      <c r="T3" s="7"/>
      <c r="U3" s="7"/>
      <c r="V3" s="7"/>
      <c r="W3" s="1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3"/>
      <c r="AQ3" s="2"/>
      <c r="AR3" s="2"/>
      <c r="AS3" s="2"/>
      <c r="AT3" s="2"/>
      <c r="AU3" s="1"/>
      <c r="AV3" s="1"/>
      <c r="AW3" s="1"/>
      <c r="AX3" s="1"/>
      <c r="AY3" s="1"/>
      <c r="AZ3" s="1"/>
      <c r="BA3" s="1"/>
      <c r="BB3" s="7"/>
      <c r="BC3" s="1"/>
    </row>
    <row r="4">
      <c r="A4" s="1" t="s">
        <v>50</v>
      </c>
      <c r="B4" s="7">
        <v>112300.0</v>
      </c>
      <c r="C4" s="1">
        <v>34200.0</v>
      </c>
      <c r="D4" s="1">
        <v>49000.0</v>
      </c>
      <c r="E4" s="1">
        <v>76000.0</v>
      </c>
      <c r="F4" s="1">
        <v>90000.0</v>
      </c>
      <c r="G4" s="1">
        <v>97000.0</v>
      </c>
      <c r="H4" s="6">
        <v>85000.0</v>
      </c>
      <c r="I4" s="1"/>
      <c r="J4" s="1"/>
      <c r="K4" s="1"/>
      <c r="L4" s="1"/>
      <c r="M4" s="1"/>
      <c r="N4" s="1"/>
      <c r="O4" s="7"/>
      <c r="P4" s="7"/>
      <c r="Q4" s="7"/>
      <c r="R4" s="7"/>
      <c r="S4" s="7"/>
      <c r="T4" s="7"/>
      <c r="U4" s="7"/>
      <c r="V4" s="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3"/>
      <c r="AQ4" s="2"/>
      <c r="AR4" s="2"/>
      <c r="AS4" s="2"/>
      <c r="AT4" s="2"/>
      <c r="AU4" s="1"/>
      <c r="AV4" s="1"/>
      <c r="AW4" s="1"/>
      <c r="AX4" s="1"/>
      <c r="AY4" s="1"/>
      <c r="AZ4" s="1"/>
      <c r="BA4" s="1"/>
      <c r="BB4" s="7"/>
      <c r="BC4" s="1"/>
    </row>
    <row r="5">
      <c r="A5" s="1" t="s">
        <v>51</v>
      </c>
      <c r="B5" s="7">
        <v>344400.0</v>
      </c>
      <c r="C5" s="1">
        <v>148200.0</v>
      </c>
      <c r="D5" s="1">
        <v>158000.0</v>
      </c>
      <c r="E5" s="1">
        <v>273000.0</v>
      </c>
      <c r="F5" s="1">
        <v>257000.0</v>
      </c>
      <c r="G5" s="1">
        <v>228000.0</v>
      </c>
      <c r="H5" s="6">
        <v>225000.0</v>
      </c>
      <c r="I5" s="1"/>
      <c r="J5" s="1"/>
      <c r="K5" s="1"/>
      <c r="L5" s="1"/>
      <c r="M5" s="1"/>
      <c r="N5" s="1"/>
      <c r="O5" s="7"/>
      <c r="P5" s="7"/>
      <c r="Q5" s="7"/>
      <c r="R5" s="7"/>
      <c r="S5" s="7"/>
      <c r="T5" s="7"/>
      <c r="U5" s="7"/>
      <c r="V5" s="7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3"/>
      <c r="AQ5" s="2"/>
      <c r="AR5" s="2"/>
      <c r="AS5" s="2"/>
      <c r="AT5" s="2"/>
      <c r="AU5" s="1"/>
      <c r="AV5" s="1"/>
      <c r="AW5" s="1"/>
      <c r="AX5" s="1"/>
      <c r="AY5" s="1"/>
      <c r="AZ5" s="1"/>
      <c r="BA5" s="1"/>
      <c r="BB5" s="7"/>
      <c r="BC5" s="1"/>
    </row>
    <row r="6">
      <c r="A6" s="1" t="s">
        <v>52</v>
      </c>
      <c r="B6" s="7">
        <v>72500.0</v>
      </c>
      <c r="C6" s="1">
        <v>14100.0</v>
      </c>
      <c r="D6" s="1">
        <v>200.0</v>
      </c>
      <c r="E6" s="1" t="str">
        <f t="shared" ref="E6:H6" si="1">NA()</f>
        <v>#N/A</v>
      </c>
      <c r="F6" s="1" t="str">
        <f t="shared" si="1"/>
        <v>#N/A</v>
      </c>
      <c r="G6" s="1" t="str">
        <f t="shared" si="1"/>
        <v>#N/A</v>
      </c>
      <c r="H6" s="6" t="str">
        <f t="shared" si="1"/>
        <v>#N/A</v>
      </c>
      <c r="I6" s="1"/>
      <c r="J6" s="1"/>
      <c r="K6" s="1"/>
      <c r="L6" s="1"/>
      <c r="M6" s="1"/>
      <c r="N6" s="1"/>
      <c r="O6" s="7"/>
      <c r="P6" s="7"/>
      <c r="Q6" s="7"/>
      <c r="R6" s="7"/>
      <c r="S6" s="7"/>
      <c r="T6" s="7"/>
      <c r="U6" s="7"/>
      <c r="V6" s="7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3"/>
      <c r="AQ6" s="2"/>
      <c r="AR6" s="2"/>
      <c r="AS6" s="2"/>
      <c r="AT6" s="2"/>
      <c r="AU6" s="1"/>
      <c r="AV6" s="1"/>
      <c r="AW6" s="1"/>
      <c r="AX6" s="1"/>
      <c r="AY6" s="1"/>
      <c r="AZ6" s="1"/>
      <c r="BA6" s="1"/>
      <c r="BB6" s="7"/>
      <c r="BC6" s="1"/>
    </row>
    <row r="7">
      <c r="A7" s="1" t="s">
        <v>53</v>
      </c>
      <c r="B7" s="7">
        <f t="shared" ref="B7:B8" si="2">SUM(O7:R7)</f>
        <v>9760</v>
      </c>
      <c r="C7" s="1">
        <f t="shared" ref="C7:C8" si="3">SUM(S7:V7)</f>
        <v>3730</v>
      </c>
      <c r="D7" s="1">
        <f t="shared" ref="D7:D8" si="4">SUM(W7:Z7)</f>
        <v>2960</v>
      </c>
      <c r="E7" s="1">
        <f t="shared" ref="E7:E8" si="5">SUM(AA7:AD7)</f>
        <v>5461</v>
      </c>
      <c r="F7" s="1">
        <f t="shared" ref="F7:F8" si="6">SUM(AE7:AH7)</f>
        <v>5703</v>
      </c>
      <c r="G7" s="1">
        <f t="shared" ref="G7:G8" si="7">SUM(AI7:AL7)</f>
        <v>5578</v>
      </c>
      <c r="H7" s="6">
        <f t="shared" ref="H7:H8" si="8">SUM(AM7:AP7)</f>
        <v>5530</v>
      </c>
      <c r="I7" s="1"/>
      <c r="J7" s="1"/>
      <c r="K7" s="1"/>
      <c r="L7" s="1"/>
      <c r="M7" s="1"/>
      <c r="N7" s="1"/>
      <c r="O7" s="7">
        <v>1855.0</v>
      </c>
      <c r="P7" s="7">
        <v>2651.0</v>
      </c>
      <c r="Q7" s="7">
        <v>2974.0</v>
      </c>
      <c r="R7" s="7">
        <v>2280.0</v>
      </c>
      <c r="S7" s="7">
        <v>1566.0</v>
      </c>
      <c r="T7" s="7">
        <v>388.0</v>
      </c>
      <c r="U7" s="7">
        <v>1314.0</v>
      </c>
      <c r="V7" s="7">
        <v>462.0</v>
      </c>
      <c r="W7" s="1">
        <v>267.0</v>
      </c>
      <c r="X7" s="1">
        <v>427.0</v>
      </c>
      <c r="Y7" s="1">
        <v>1144.0</v>
      </c>
      <c r="Z7" s="1">
        <v>1122.0</v>
      </c>
      <c r="AA7" s="1">
        <v>720.0</v>
      </c>
      <c r="AB7" s="1">
        <v>1552.0</v>
      </c>
      <c r="AC7" s="1">
        <v>1893.0</v>
      </c>
      <c r="AD7" s="1">
        <v>1296.0</v>
      </c>
      <c r="AE7" s="1">
        <v>1049.0</v>
      </c>
      <c r="AF7" s="1">
        <v>1541.0</v>
      </c>
      <c r="AG7" s="1">
        <v>1775.0</v>
      </c>
      <c r="AH7" s="1">
        <v>1338.0</v>
      </c>
      <c r="AI7" s="1">
        <v>1102.0</v>
      </c>
      <c r="AJ7" s="1">
        <v>1451.0</v>
      </c>
      <c r="AK7" s="1">
        <v>1715.0</v>
      </c>
      <c r="AL7" s="1">
        <v>1310.0</v>
      </c>
      <c r="AM7" s="1">
        <v>970.0</v>
      </c>
      <c r="AN7" s="1">
        <v>1488.0</v>
      </c>
      <c r="AO7" s="1">
        <v>1766.0</v>
      </c>
      <c r="AP7" s="6">
        <v>1306.0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1"/>
    </row>
    <row r="8">
      <c r="A8" s="1" t="s">
        <v>54</v>
      </c>
      <c r="B8" s="7">
        <f t="shared" si="2"/>
        <v>240200</v>
      </c>
      <c r="C8" s="1">
        <f t="shared" si="3"/>
        <v>95700</v>
      </c>
      <c r="D8" s="1">
        <f t="shared" si="4"/>
        <v>98300</v>
      </c>
      <c r="E8" s="1">
        <f t="shared" si="5"/>
        <v>191900</v>
      </c>
      <c r="F8" s="1">
        <f t="shared" si="6"/>
        <v>217600</v>
      </c>
      <c r="G8" s="1">
        <f t="shared" si="7"/>
        <v>224700</v>
      </c>
      <c r="H8" s="6">
        <f t="shared" si="8"/>
        <v>222200</v>
      </c>
      <c r="I8" s="1"/>
      <c r="J8" s="1"/>
      <c r="K8" s="1"/>
      <c r="L8" s="1"/>
      <c r="M8" s="1"/>
      <c r="N8" s="1"/>
      <c r="O8" s="7">
        <v>37200.0</v>
      </c>
      <c r="P8" s="7">
        <v>66000.0</v>
      </c>
      <c r="Q8" s="7">
        <v>86000.0</v>
      </c>
      <c r="R8" s="7">
        <v>51000.0</v>
      </c>
      <c r="S8" s="7">
        <v>31600.0</v>
      </c>
      <c r="T8" s="7">
        <v>12900.0</v>
      </c>
      <c r="U8" s="7">
        <v>35700.0</v>
      </c>
      <c r="V8" s="7">
        <v>15500.0</v>
      </c>
      <c r="W8" s="1">
        <v>7600.0</v>
      </c>
      <c r="X8" s="1">
        <v>13400.0</v>
      </c>
      <c r="Y8" s="1">
        <v>43000.0</v>
      </c>
      <c r="Z8" s="1">
        <v>34300.0</v>
      </c>
      <c r="AA8" s="1">
        <v>22100.0</v>
      </c>
      <c r="AB8" s="1">
        <v>49600.0</v>
      </c>
      <c r="AC8" s="1">
        <v>75400.0</v>
      </c>
      <c r="AD8" s="1">
        <v>44800.0</v>
      </c>
      <c r="AE8" s="1">
        <v>35200.0</v>
      </c>
      <c r="AF8" s="1">
        <v>59200.0</v>
      </c>
      <c r="AG8" s="1">
        <v>76000.0</v>
      </c>
      <c r="AH8" s="1">
        <v>47200.0</v>
      </c>
      <c r="AI8" s="1">
        <v>39500.0</v>
      </c>
      <c r="AJ8" s="1">
        <v>58000.0</v>
      </c>
      <c r="AK8" s="1">
        <v>78600.0</v>
      </c>
      <c r="AL8" s="1">
        <v>48600.0</v>
      </c>
      <c r="AM8" s="1">
        <v>34000.0</v>
      </c>
      <c r="AN8" s="1">
        <v>60000.0</v>
      </c>
      <c r="AO8" s="1">
        <v>80900.0</v>
      </c>
      <c r="AP8" s="6">
        <v>47300.0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1"/>
    </row>
    <row r="9">
      <c r="A9" s="1" t="s">
        <v>55</v>
      </c>
      <c r="B9" s="7">
        <f t="shared" ref="B9:H9" si="9">(B8/B7)</f>
        <v>24.61065574</v>
      </c>
      <c r="C9" s="1">
        <f t="shared" si="9"/>
        <v>25.65683646</v>
      </c>
      <c r="D9" s="1">
        <f t="shared" si="9"/>
        <v>33.20945946</v>
      </c>
      <c r="E9" s="7">
        <f t="shared" si="9"/>
        <v>35.14008423</v>
      </c>
      <c r="F9" s="7">
        <f t="shared" si="9"/>
        <v>38.15535683</v>
      </c>
      <c r="G9" s="7">
        <f t="shared" si="9"/>
        <v>40.28325565</v>
      </c>
      <c r="H9" s="8">
        <f t="shared" si="9"/>
        <v>40.18083183</v>
      </c>
      <c r="I9" s="7"/>
      <c r="J9" s="7"/>
      <c r="K9" s="7"/>
      <c r="L9" s="7"/>
      <c r="M9" s="7"/>
      <c r="N9" s="7"/>
      <c r="O9" s="7">
        <f t="shared" ref="O9:AP9" si="10">(O8/O7)</f>
        <v>20.05390836</v>
      </c>
      <c r="P9" s="7">
        <f t="shared" si="10"/>
        <v>24.89626556</v>
      </c>
      <c r="Q9" s="7">
        <f t="shared" si="10"/>
        <v>28.91728312</v>
      </c>
      <c r="R9" s="7">
        <f t="shared" si="10"/>
        <v>22.36842105</v>
      </c>
      <c r="S9" s="7">
        <f t="shared" si="10"/>
        <v>20.17879949</v>
      </c>
      <c r="T9" s="7">
        <f t="shared" si="10"/>
        <v>33.24742268</v>
      </c>
      <c r="U9" s="7">
        <f t="shared" si="10"/>
        <v>27.16894977</v>
      </c>
      <c r="V9" s="7">
        <f t="shared" si="10"/>
        <v>33.54978355</v>
      </c>
      <c r="W9" s="1">
        <f t="shared" si="10"/>
        <v>28.46441948</v>
      </c>
      <c r="X9" s="1">
        <f t="shared" si="10"/>
        <v>31.38173302</v>
      </c>
      <c r="Y9" s="1">
        <f t="shared" si="10"/>
        <v>37.58741259</v>
      </c>
      <c r="Z9" s="1">
        <f t="shared" si="10"/>
        <v>30.57040998</v>
      </c>
      <c r="AA9" s="1">
        <f t="shared" si="10"/>
        <v>30.69444444</v>
      </c>
      <c r="AB9" s="1">
        <f t="shared" si="10"/>
        <v>31.95876289</v>
      </c>
      <c r="AC9" s="1">
        <f t="shared" si="10"/>
        <v>39.83095615</v>
      </c>
      <c r="AD9" s="1">
        <f t="shared" si="10"/>
        <v>34.56790123</v>
      </c>
      <c r="AE9" s="1">
        <f t="shared" si="10"/>
        <v>33.5557674</v>
      </c>
      <c r="AF9" s="1">
        <f t="shared" si="10"/>
        <v>38.41661259</v>
      </c>
      <c r="AG9" s="1">
        <f t="shared" si="10"/>
        <v>42.81690141</v>
      </c>
      <c r="AH9" s="1">
        <f t="shared" si="10"/>
        <v>35.27653214</v>
      </c>
      <c r="AI9" s="1">
        <f t="shared" si="10"/>
        <v>35.84392015</v>
      </c>
      <c r="AJ9" s="1">
        <f t="shared" si="10"/>
        <v>39.9724328</v>
      </c>
      <c r="AK9" s="1">
        <f t="shared" si="10"/>
        <v>45.83090379</v>
      </c>
      <c r="AL9" s="1">
        <f t="shared" si="10"/>
        <v>37.09923664</v>
      </c>
      <c r="AM9" s="1">
        <f t="shared" si="10"/>
        <v>35.05154639</v>
      </c>
      <c r="AN9" s="1">
        <f t="shared" si="10"/>
        <v>40.32258065</v>
      </c>
      <c r="AO9" s="1">
        <f t="shared" si="10"/>
        <v>45.80973952</v>
      </c>
      <c r="AP9" s="6">
        <f t="shared" si="10"/>
        <v>36.21745789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1"/>
    </row>
    <row r="10">
      <c r="A10" s="9" t="s">
        <v>56</v>
      </c>
      <c r="B10" s="7">
        <f t="shared" ref="B10:B12" si="11">SUM(O10:R10)</f>
        <v>523900</v>
      </c>
      <c r="C10" s="1">
        <f t="shared" ref="C10:C12" si="12">SUM(S10:V10)</f>
        <v>209300</v>
      </c>
      <c r="D10" s="1">
        <f t="shared" ref="D10:D13" si="13">SUM(W10:Z10)</f>
        <v>198100</v>
      </c>
      <c r="E10" s="1">
        <f t="shared" ref="E10:E13" si="14">SUM(AA10:AD10)</f>
        <v>327700</v>
      </c>
      <c r="F10" s="1">
        <f t="shared" ref="F10:F13" si="15">SUM(AE10:AH10)</f>
        <v>328400</v>
      </c>
      <c r="G10" s="1">
        <f t="shared" ref="G10:G13" si="16">SUM(AI10:AL10)</f>
        <v>318900</v>
      </c>
      <c r="H10" s="6">
        <f t="shared" ref="H10:H13" si="17">SUM(AM10:AP10)</f>
        <v>317800</v>
      </c>
      <c r="I10" s="1"/>
      <c r="J10" s="1"/>
      <c r="K10" s="1"/>
      <c r="L10" s="1"/>
      <c r="M10" s="1"/>
      <c r="N10" s="1"/>
      <c r="O10" s="7">
        <v>102700.0</v>
      </c>
      <c r="P10" s="7">
        <v>138100.0</v>
      </c>
      <c r="Q10" s="7">
        <v>153700.0</v>
      </c>
      <c r="R10" s="7">
        <v>129400.0</v>
      </c>
      <c r="S10" s="7">
        <v>84000.0</v>
      </c>
      <c r="T10" s="7">
        <v>21000.0</v>
      </c>
      <c r="U10" s="7">
        <v>72900.0</v>
      </c>
      <c r="V10" s="7">
        <v>31400.0</v>
      </c>
      <c r="W10" s="1">
        <v>14800.0</v>
      </c>
      <c r="X10" s="1">
        <v>29000.0</v>
      </c>
      <c r="Y10" s="1">
        <v>76400.0</v>
      </c>
      <c r="Z10" s="1">
        <v>77900.0</v>
      </c>
      <c r="AA10" s="1">
        <v>42200.0</v>
      </c>
      <c r="AB10" s="1">
        <v>95800.0</v>
      </c>
      <c r="AC10" s="1">
        <v>107500.0</v>
      </c>
      <c r="AD10" s="1">
        <v>82200.0</v>
      </c>
      <c r="AE10" s="1">
        <v>62700.0</v>
      </c>
      <c r="AF10" s="1">
        <v>89500.0</v>
      </c>
      <c r="AG10" s="1">
        <v>95900.0</v>
      </c>
      <c r="AH10" s="1">
        <v>80300.0</v>
      </c>
      <c r="AI10" s="1">
        <v>63700.0</v>
      </c>
      <c r="AJ10" s="1">
        <v>83600.0</v>
      </c>
      <c r="AK10" s="1">
        <v>92300.0</v>
      </c>
      <c r="AL10" s="1">
        <v>79300.0</v>
      </c>
      <c r="AM10" s="1">
        <v>94900.0</v>
      </c>
      <c r="AN10" s="1">
        <v>28800.0</v>
      </c>
      <c r="AO10" s="1">
        <v>67100.0</v>
      </c>
      <c r="AP10" s="6">
        <v>127000.0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1"/>
    </row>
    <row r="11">
      <c r="A11" s="1" t="s">
        <v>57</v>
      </c>
      <c r="B11" s="7">
        <f t="shared" si="11"/>
        <v>119100</v>
      </c>
      <c r="C11" s="1">
        <f t="shared" si="12"/>
        <v>93900</v>
      </c>
      <c r="D11" s="1">
        <f t="shared" si="13"/>
        <v>94800</v>
      </c>
      <c r="E11" s="1">
        <f t="shared" si="14"/>
        <v>103100</v>
      </c>
      <c r="F11" s="1">
        <f t="shared" si="15"/>
        <v>91000</v>
      </c>
      <c r="G11" s="1">
        <f t="shared" si="16"/>
        <v>88600</v>
      </c>
      <c r="H11" s="6">
        <f t="shared" si="17"/>
        <v>78000</v>
      </c>
      <c r="I11" s="1"/>
      <c r="J11" s="1"/>
      <c r="K11" s="1"/>
      <c r="L11" s="1"/>
      <c r="M11" s="1"/>
      <c r="N11" s="1"/>
      <c r="O11" s="7">
        <v>29600.0</v>
      </c>
      <c r="P11" s="7">
        <v>31700.0</v>
      </c>
      <c r="Q11" s="7">
        <v>28700.0</v>
      </c>
      <c r="R11" s="7">
        <v>29100.0</v>
      </c>
      <c r="S11" s="7">
        <v>28100.0</v>
      </c>
      <c r="T11" s="7">
        <v>22400.0</v>
      </c>
      <c r="U11" s="7">
        <v>22500.0</v>
      </c>
      <c r="V11" s="7">
        <v>20900.0</v>
      </c>
      <c r="W11" s="1">
        <v>22100.0</v>
      </c>
      <c r="X11" s="1">
        <v>23700.0</v>
      </c>
      <c r="Y11" s="1">
        <v>22500.0</v>
      </c>
      <c r="Z11" s="1">
        <v>26500.0</v>
      </c>
      <c r="AA11" s="1">
        <v>26500.0</v>
      </c>
      <c r="AB11" s="1">
        <v>27700.0</v>
      </c>
      <c r="AC11" s="1">
        <v>25300.0</v>
      </c>
      <c r="AD11" s="1">
        <v>23600.0</v>
      </c>
      <c r="AE11" s="1">
        <v>25300.0</v>
      </c>
      <c r="AF11" s="1">
        <v>23800.0</v>
      </c>
      <c r="AG11" s="1">
        <v>20700.0</v>
      </c>
      <c r="AH11" s="1">
        <v>21200.0</v>
      </c>
      <c r="AI11" s="1">
        <v>22700.0</v>
      </c>
      <c r="AJ11" s="1">
        <v>25500.0</v>
      </c>
      <c r="AK11" s="1">
        <v>20900.0</v>
      </c>
      <c r="AL11" s="1">
        <v>19500.0</v>
      </c>
      <c r="AM11" s="1">
        <v>19100.0</v>
      </c>
      <c r="AN11" s="1">
        <v>21200.0</v>
      </c>
      <c r="AO11" s="1">
        <v>19000.0</v>
      </c>
      <c r="AP11" s="6">
        <v>18700.0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1"/>
    </row>
    <row r="12">
      <c r="A12" s="1" t="s">
        <v>58</v>
      </c>
      <c r="B12" s="7">
        <f t="shared" si="11"/>
        <v>883200</v>
      </c>
      <c r="C12" s="1">
        <f t="shared" si="12"/>
        <v>398900</v>
      </c>
      <c r="D12" s="1">
        <f t="shared" si="13"/>
        <v>391200</v>
      </c>
      <c r="E12" s="1">
        <f t="shared" si="14"/>
        <v>622700</v>
      </c>
      <c r="F12" s="1">
        <f t="shared" si="15"/>
        <v>637000</v>
      </c>
      <c r="G12" s="1">
        <f t="shared" si="16"/>
        <v>632200</v>
      </c>
      <c r="H12" s="6">
        <f t="shared" si="17"/>
        <v>618000</v>
      </c>
      <c r="I12" s="1"/>
      <c r="J12" s="1"/>
      <c r="K12" s="1"/>
      <c r="L12" s="1"/>
      <c r="M12" s="1"/>
      <c r="N12" s="1"/>
      <c r="O12" s="7">
        <f t="shared" ref="O12:AP12" si="18">(O8+O10+O11)</f>
        <v>169500</v>
      </c>
      <c r="P12" s="7">
        <f t="shared" si="18"/>
        <v>235800</v>
      </c>
      <c r="Q12" s="7">
        <f t="shared" si="18"/>
        <v>268400</v>
      </c>
      <c r="R12" s="7">
        <f t="shared" si="18"/>
        <v>209500</v>
      </c>
      <c r="S12" s="7">
        <f t="shared" si="18"/>
        <v>143700</v>
      </c>
      <c r="T12" s="7">
        <f t="shared" si="18"/>
        <v>56300</v>
      </c>
      <c r="U12" s="7">
        <f t="shared" si="18"/>
        <v>131100</v>
      </c>
      <c r="V12" s="7">
        <f t="shared" si="18"/>
        <v>67800</v>
      </c>
      <c r="W12" s="1">
        <f t="shared" si="18"/>
        <v>44500</v>
      </c>
      <c r="X12" s="1">
        <f t="shared" si="18"/>
        <v>66100</v>
      </c>
      <c r="Y12" s="1">
        <f t="shared" si="18"/>
        <v>141900</v>
      </c>
      <c r="Z12" s="1">
        <f t="shared" si="18"/>
        <v>138700</v>
      </c>
      <c r="AA12" s="1">
        <f t="shared" si="18"/>
        <v>90800</v>
      </c>
      <c r="AB12" s="1">
        <f t="shared" si="18"/>
        <v>173100</v>
      </c>
      <c r="AC12" s="1">
        <f t="shared" si="18"/>
        <v>208200</v>
      </c>
      <c r="AD12" s="1">
        <f t="shared" si="18"/>
        <v>150600</v>
      </c>
      <c r="AE12" s="1">
        <f t="shared" si="18"/>
        <v>123200</v>
      </c>
      <c r="AF12" s="1">
        <f t="shared" si="18"/>
        <v>172500</v>
      </c>
      <c r="AG12" s="1">
        <f t="shared" si="18"/>
        <v>192600</v>
      </c>
      <c r="AH12" s="1">
        <f t="shared" si="18"/>
        <v>148700</v>
      </c>
      <c r="AI12" s="1">
        <f t="shared" si="18"/>
        <v>125900</v>
      </c>
      <c r="AJ12" s="1">
        <f t="shared" si="18"/>
        <v>167100</v>
      </c>
      <c r="AK12" s="1">
        <f t="shared" si="18"/>
        <v>191800</v>
      </c>
      <c r="AL12" s="1">
        <f t="shared" si="18"/>
        <v>147400</v>
      </c>
      <c r="AM12" s="1">
        <f t="shared" si="18"/>
        <v>148000</v>
      </c>
      <c r="AN12" s="1">
        <f t="shared" si="18"/>
        <v>110000</v>
      </c>
      <c r="AO12" s="1">
        <f t="shared" si="18"/>
        <v>167000</v>
      </c>
      <c r="AP12" s="6">
        <f t="shared" si="18"/>
        <v>193000</v>
      </c>
      <c r="AQ12" s="1"/>
      <c r="AR12" s="1"/>
      <c r="AS12" s="1"/>
      <c r="AT12" s="1"/>
      <c r="AU12" s="1"/>
      <c r="AV12" s="2"/>
      <c r="AW12" s="2"/>
      <c r="AX12" s="2"/>
      <c r="AY12" s="2"/>
      <c r="AZ12" s="2"/>
      <c r="BA12" s="2"/>
      <c r="BB12" s="7"/>
      <c r="BC12" s="2"/>
    </row>
    <row r="13">
      <c r="A13" s="1" t="s">
        <v>59</v>
      </c>
      <c r="B13" s="7">
        <v>73800.0</v>
      </c>
      <c r="C13" s="2">
        <v>45300.0</v>
      </c>
      <c r="D13" s="2">
        <f t="shared" si="13"/>
        <v>85200</v>
      </c>
      <c r="E13" s="2">
        <f t="shared" si="14"/>
        <v>147300</v>
      </c>
      <c r="F13" s="2">
        <f t="shared" si="15"/>
        <v>196000</v>
      </c>
      <c r="G13" s="2">
        <f t="shared" si="16"/>
        <v>152800</v>
      </c>
      <c r="H13" s="3">
        <f t="shared" si="17"/>
        <v>142000</v>
      </c>
      <c r="I13" s="2"/>
      <c r="J13" s="2"/>
      <c r="K13" s="2"/>
      <c r="L13" s="2"/>
      <c r="M13" s="2"/>
      <c r="N13" s="2"/>
      <c r="O13" s="7">
        <v>10700.0</v>
      </c>
      <c r="P13" s="7">
        <v>22200.0</v>
      </c>
      <c r="Q13" s="7">
        <v>22400.0</v>
      </c>
      <c r="R13" s="7">
        <v>18500.0</v>
      </c>
      <c r="S13" s="7">
        <v>12500.0</v>
      </c>
      <c r="T13" s="7">
        <v>8700.0</v>
      </c>
      <c r="U13" s="7">
        <v>12600.0</v>
      </c>
      <c r="V13" s="7">
        <v>11500.0</v>
      </c>
      <c r="W13" s="1">
        <v>9200.0</v>
      </c>
      <c r="X13" s="1">
        <v>20000.0</v>
      </c>
      <c r="Y13" s="1">
        <v>28100.0</v>
      </c>
      <c r="Z13" s="1">
        <v>27900.0</v>
      </c>
      <c r="AA13" s="1">
        <v>15200.0</v>
      </c>
      <c r="AB13" s="1">
        <v>32900.0</v>
      </c>
      <c r="AC13" s="1">
        <v>46800.0</v>
      </c>
      <c r="AD13" s="1">
        <v>52400.0</v>
      </c>
      <c r="AE13" s="1">
        <v>47800.0</v>
      </c>
      <c r="AF13" s="1">
        <v>56500.0</v>
      </c>
      <c r="AG13" s="1">
        <v>47400.0</v>
      </c>
      <c r="AH13" s="1">
        <v>44300.0</v>
      </c>
      <c r="AI13" s="1">
        <v>34100.0</v>
      </c>
      <c r="AJ13" s="1">
        <v>42900.0</v>
      </c>
      <c r="AK13" s="1">
        <v>40200.0</v>
      </c>
      <c r="AL13" s="1">
        <v>35600.0</v>
      </c>
      <c r="AM13" s="1">
        <v>35000.0</v>
      </c>
      <c r="AN13" s="1">
        <v>27000.0</v>
      </c>
      <c r="AO13" s="1">
        <v>40000.0</v>
      </c>
      <c r="AP13" s="6">
        <v>40000.0</v>
      </c>
      <c r="AQ13" s="1"/>
      <c r="AR13" s="1"/>
      <c r="AS13" s="1"/>
      <c r="AT13" s="1"/>
      <c r="AU13" s="2"/>
      <c r="AV13" s="2"/>
      <c r="AW13" s="2"/>
      <c r="AX13" s="2"/>
      <c r="AY13" s="2"/>
      <c r="AZ13" s="2"/>
      <c r="BA13" s="2"/>
      <c r="BB13" s="7"/>
      <c r="BC13" s="2"/>
    </row>
    <row r="14">
      <c r="A14" s="4" t="s">
        <v>60</v>
      </c>
      <c r="B14" s="10">
        <f t="shared" ref="B14:L14" si="19">SUM(B12:B13)</f>
        <v>957000</v>
      </c>
      <c r="C14" s="4">
        <f t="shared" si="19"/>
        <v>444200</v>
      </c>
      <c r="D14" s="4">
        <f t="shared" si="19"/>
        <v>476400</v>
      </c>
      <c r="E14" s="4">
        <f t="shared" si="19"/>
        <v>770000</v>
      </c>
      <c r="F14" s="4">
        <f t="shared" si="19"/>
        <v>833000</v>
      </c>
      <c r="G14" s="4">
        <f t="shared" si="19"/>
        <v>785000</v>
      </c>
      <c r="H14" s="5">
        <f t="shared" si="19"/>
        <v>760000</v>
      </c>
      <c r="I14" s="10">
        <f t="shared" si="19"/>
        <v>0</v>
      </c>
      <c r="J14" s="10">
        <f t="shared" si="19"/>
        <v>0</v>
      </c>
      <c r="K14" s="10">
        <f t="shared" si="19"/>
        <v>0</v>
      </c>
      <c r="L14" s="10">
        <f t="shared" si="19"/>
        <v>0</v>
      </c>
      <c r="M14" s="4"/>
      <c r="N14" s="4"/>
      <c r="O14" s="10">
        <f t="shared" ref="O14:BA14" si="20">SUM(O12:O13)</f>
        <v>180200</v>
      </c>
      <c r="P14" s="10">
        <f t="shared" si="20"/>
        <v>258000</v>
      </c>
      <c r="Q14" s="10">
        <f t="shared" si="20"/>
        <v>290800</v>
      </c>
      <c r="R14" s="10">
        <f t="shared" si="20"/>
        <v>228000</v>
      </c>
      <c r="S14" s="10">
        <f t="shared" si="20"/>
        <v>156200</v>
      </c>
      <c r="T14" s="10">
        <f t="shared" si="20"/>
        <v>65000</v>
      </c>
      <c r="U14" s="10">
        <f t="shared" si="20"/>
        <v>143700</v>
      </c>
      <c r="V14" s="10">
        <f t="shared" si="20"/>
        <v>79300</v>
      </c>
      <c r="W14" s="4">
        <f t="shared" si="20"/>
        <v>53700</v>
      </c>
      <c r="X14" s="4">
        <f t="shared" si="20"/>
        <v>86100</v>
      </c>
      <c r="Y14" s="4">
        <f t="shared" si="20"/>
        <v>170000</v>
      </c>
      <c r="Z14" s="4">
        <f t="shared" si="20"/>
        <v>166600</v>
      </c>
      <c r="AA14" s="4">
        <f t="shared" si="20"/>
        <v>106000</v>
      </c>
      <c r="AB14" s="4">
        <f t="shared" si="20"/>
        <v>206000</v>
      </c>
      <c r="AC14" s="4">
        <f t="shared" si="20"/>
        <v>255000</v>
      </c>
      <c r="AD14" s="4">
        <f t="shared" si="20"/>
        <v>203000</v>
      </c>
      <c r="AE14" s="4">
        <f t="shared" si="20"/>
        <v>171000</v>
      </c>
      <c r="AF14" s="4">
        <f t="shared" si="20"/>
        <v>229000</v>
      </c>
      <c r="AG14" s="4">
        <f t="shared" si="20"/>
        <v>240000</v>
      </c>
      <c r="AH14" s="4">
        <f t="shared" si="20"/>
        <v>193000</v>
      </c>
      <c r="AI14" s="4">
        <f t="shared" si="20"/>
        <v>160000</v>
      </c>
      <c r="AJ14" s="4">
        <f t="shared" si="20"/>
        <v>210000</v>
      </c>
      <c r="AK14" s="4">
        <f t="shared" si="20"/>
        <v>232000</v>
      </c>
      <c r="AL14" s="4">
        <f t="shared" si="20"/>
        <v>183000</v>
      </c>
      <c r="AM14" s="4">
        <f t="shared" si="20"/>
        <v>183000</v>
      </c>
      <c r="AN14" s="4">
        <f t="shared" si="20"/>
        <v>137000</v>
      </c>
      <c r="AO14" s="4">
        <f t="shared" si="20"/>
        <v>207000</v>
      </c>
      <c r="AP14" s="5">
        <f t="shared" si="20"/>
        <v>233000</v>
      </c>
      <c r="AQ14" s="4">
        <f t="shared" si="20"/>
        <v>0</v>
      </c>
      <c r="AR14" s="4">
        <f t="shared" si="20"/>
        <v>0</v>
      </c>
      <c r="AS14" s="4">
        <f t="shared" si="20"/>
        <v>0</v>
      </c>
      <c r="AT14" s="4">
        <f t="shared" si="20"/>
        <v>0</v>
      </c>
      <c r="AU14" s="4">
        <f t="shared" si="20"/>
        <v>0</v>
      </c>
      <c r="AV14" s="4">
        <f t="shared" si="20"/>
        <v>0</v>
      </c>
      <c r="AW14" s="4">
        <f t="shared" si="20"/>
        <v>0</v>
      </c>
      <c r="AX14" s="4">
        <f t="shared" si="20"/>
        <v>0</v>
      </c>
      <c r="AY14" s="4">
        <f t="shared" si="20"/>
        <v>0</v>
      </c>
      <c r="AZ14" s="4">
        <f t="shared" si="20"/>
        <v>0</v>
      </c>
      <c r="BA14" s="4">
        <f t="shared" si="20"/>
        <v>0</v>
      </c>
      <c r="BB14" s="10"/>
      <c r="BC14" s="4"/>
    </row>
    <row r="15">
      <c r="A15" s="11" t="s">
        <v>61</v>
      </c>
      <c r="B15" s="12"/>
      <c r="C15" s="13">
        <f t="shared" ref="C15:H15" si="21">((C14/B14)-1)</f>
        <v>-0.5358411703</v>
      </c>
      <c r="D15" s="13">
        <f t="shared" si="21"/>
        <v>0.07248986943</v>
      </c>
      <c r="E15" s="13">
        <f t="shared" si="21"/>
        <v>0.6162888329</v>
      </c>
      <c r="F15" s="13">
        <f t="shared" si="21"/>
        <v>0.08181818182</v>
      </c>
      <c r="G15" s="13">
        <f t="shared" si="21"/>
        <v>-0.05762304922</v>
      </c>
      <c r="H15" s="14">
        <f t="shared" si="21"/>
        <v>-0.03184713376</v>
      </c>
      <c r="I15" s="13"/>
      <c r="J15" s="13"/>
      <c r="K15" s="13"/>
      <c r="L15" s="13"/>
      <c r="M15" s="13"/>
      <c r="N15" s="13"/>
      <c r="O15" s="12"/>
      <c r="P15" s="12"/>
      <c r="Q15" s="12"/>
      <c r="R15" s="12"/>
      <c r="S15" s="12">
        <f t="shared" ref="S15:AT15" si="22">((S14/O14)-1)</f>
        <v>-0.1331853496</v>
      </c>
      <c r="T15" s="12">
        <f t="shared" si="22"/>
        <v>-0.7480620155</v>
      </c>
      <c r="U15" s="12">
        <f t="shared" si="22"/>
        <v>-0.5058459422</v>
      </c>
      <c r="V15" s="12">
        <f t="shared" si="22"/>
        <v>-0.6521929825</v>
      </c>
      <c r="W15" s="15">
        <f t="shared" si="22"/>
        <v>-0.6562099872</v>
      </c>
      <c r="X15" s="15">
        <f t="shared" si="22"/>
        <v>0.3246153846</v>
      </c>
      <c r="Y15" s="15">
        <f t="shared" si="22"/>
        <v>0.1830201809</v>
      </c>
      <c r="Z15" s="15">
        <f t="shared" si="22"/>
        <v>1.100882724</v>
      </c>
      <c r="AA15" s="15">
        <f t="shared" si="22"/>
        <v>0.9739292365</v>
      </c>
      <c r="AB15" s="15">
        <f t="shared" si="22"/>
        <v>1.392566783</v>
      </c>
      <c r="AC15" s="15">
        <f t="shared" si="22"/>
        <v>0.5</v>
      </c>
      <c r="AD15" s="15">
        <f t="shared" si="22"/>
        <v>0.218487395</v>
      </c>
      <c r="AE15" s="15">
        <f t="shared" si="22"/>
        <v>0.6132075472</v>
      </c>
      <c r="AF15" s="15">
        <f t="shared" si="22"/>
        <v>0.1116504854</v>
      </c>
      <c r="AG15" s="15">
        <f t="shared" si="22"/>
        <v>-0.05882352941</v>
      </c>
      <c r="AH15" s="15">
        <f t="shared" si="22"/>
        <v>-0.04926108374</v>
      </c>
      <c r="AI15" s="15">
        <f t="shared" si="22"/>
        <v>-0.06432748538</v>
      </c>
      <c r="AJ15" s="15">
        <f t="shared" si="22"/>
        <v>-0.08296943231</v>
      </c>
      <c r="AK15" s="15">
        <f t="shared" si="22"/>
        <v>-0.03333333333</v>
      </c>
      <c r="AL15" s="15">
        <f t="shared" si="22"/>
        <v>-0.0518134715</v>
      </c>
      <c r="AM15" s="15">
        <f t="shared" si="22"/>
        <v>0.14375</v>
      </c>
      <c r="AN15" s="15">
        <f t="shared" si="22"/>
        <v>-0.3476190476</v>
      </c>
      <c r="AO15" s="15">
        <f t="shared" si="22"/>
        <v>-0.1077586207</v>
      </c>
      <c r="AP15" s="16">
        <f t="shared" si="22"/>
        <v>0.2732240437</v>
      </c>
      <c r="AQ15" s="15">
        <f t="shared" si="22"/>
        <v>-1</v>
      </c>
      <c r="AR15" s="15">
        <f t="shared" si="22"/>
        <v>-1</v>
      </c>
      <c r="AS15" s="15">
        <f t="shared" si="22"/>
        <v>-1</v>
      </c>
      <c r="AT15" s="15">
        <f t="shared" si="22"/>
        <v>-1</v>
      </c>
      <c r="AU15" s="15">
        <f>((AU14/H14)-1)</f>
        <v>-1</v>
      </c>
      <c r="AV15" s="15" t="str">
        <f t="shared" ref="AV15:AZ15" si="23">((AV14/AQ14)-1)</f>
        <v>#DIV/0!</v>
      </c>
      <c r="AW15" s="15" t="str">
        <f t="shared" si="23"/>
        <v>#DIV/0!</v>
      </c>
      <c r="AX15" s="15" t="str">
        <f t="shared" si="23"/>
        <v>#DIV/0!</v>
      </c>
      <c r="AY15" s="15" t="str">
        <f t="shared" si="23"/>
        <v>#DIV/0!</v>
      </c>
      <c r="AZ15" s="15" t="str">
        <f t="shared" si="23"/>
        <v>#DIV/0!</v>
      </c>
      <c r="BA15" s="15"/>
      <c r="BB15" s="12"/>
      <c r="BC15" s="15"/>
    </row>
    <row r="16">
      <c r="A16" s="11"/>
      <c r="B16" s="12"/>
      <c r="C16" s="13"/>
      <c r="D16" s="13"/>
      <c r="E16" s="13"/>
      <c r="F16" s="13"/>
      <c r="G16" s="13"/>
      <c r="H16" s="14"/>
      <c r="I16" s="13"/>
      <c r="J16" s="13"/>
      <c r="K16" s="13"/>
      <c r="L16" s="13"/>
      <c r="M16" s="13"/>
      <c r="N16" s="13"/>
      <c r="O16" s="12"/>
      <c r="P16" s="12"/>
      <c r="Q16" s="12"/>
      <c r="R16" s="12"/>
      <c r="S16" s="12"/>
      <c r="T16" s="12"/>
      <c r="U16" s="12"/>
      <c r="V16" s="12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6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2"/>
      <c r="BC16" s="15"/>
    </row>
    <row r="17">
      <c r="A17" s="1" t="s">
        <v>62</v>
      </c>
      <c r="B17" s="7">
        <v>221139.0</v>
      </c>
      <c r="C17" s="1">
        <v>116624.0</v>
      </c>
      <c r="D17" s="1">
        <v>110000.0</v>
      </c>
      <c r="E17" s="1">
        <v>160000.0</v>
      </c>
      <c r="F17" s="1">
        <v>170000.0</v>
      </c>
      <c r="G17" s="1">
        <v>163000.0</v>
      </c>
      <c r="H17" s="6">
        <v>160000.0</v>
      </c>
      <c r="I17" s="1"/>
      <c r="J17" s="1"/>
      <c r="K17" s="1"/>
      <c r="L17" s="1"/>
      <c r="M17" s="1"/>
      <c r="N17" s="1"/>
      <c r="O17" s="17"/>
      <c r="P17" s="17"/>
      <c r="Q17" s="17"/>
      <c r="R17" s="17"/>
      <c r="S17" s="17"/>
      <c r="T17" s="17"/>
      <c r="U17" s="17"/>
      <c r="V17" s="17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3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1"/>
    </row>
    <row r="18">
      <c r="A18" s="1" t="s">
        <v>63</v>
      </c>
      <c r="B18" s="7">
        <v>103446.0</v>
      </c>
      <c r="C18" s="1">
        <v>68100.0</v>
      </c>
      <c r="D18" s="1">
        <v>63000.0</v>
      </c>
      <c r="E18" s="1">
        <v>77000.0</v>
      </c>
      <c r="F18" s="1">
        <v>69000.0</v>
      </c>
      <c r="G18" s="1">
        <v>73000.0</v>
      </c>
      <c r="H18" s="6">
        <v>74000.0</v>
      </c>
      <c r="I18" s="1"/>
      <c r="J18" s="1"/>
      <c r="K18" s="1"/>
      <c r="L18" s="1"/>
      <c r="M18" s="1"/>
      <c r="N18" s="1"/>
      <c r="O18" s="17"/>
      <c r="P18" s="17"/>
      <c r="Q18" s="17"/>
      <c r="R18" s="17"/>
      <c r="S18" s="17"/>
      <c r="T18" s="17"/>
      <c r="U18" s="17"/>
      <c r="V18" s="17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3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1"/>
    </row>
    <row r="19">
      <c r="A19" s="1" t="s">
        <v>64</v>
      </c>
      <c r="B19" s="7">
        <v>89614.0</v>
      </c>
      <c r="C19" s="1">
        <v>56341.0</v>
      </c>
      <c r="D19" s="1">
        <v>72000.0</v>
      </c>
      <c r="E19" s="1">
        <v>144000.0</v>
      </c>
      <c r="F19" s="1">
        <v>97000.0</v>
      </c>
      <c r="G19" s="1">
        <v>95000.0</v>
      </c>
      <c r="H19" s="6">
        <v>96000.0</v>
      </c>
      <c r="I19" s="1"/>
      <c r="J19" s="1"/>
      <c r="K19" s="1"/>
      <c r="L19" s="1"/>
      <c r="M19" s="1"/>
      <c r="N19" s="1"/>
      <c r="O19" s="17"/>
      <c r="P19" s="17"/>
      <c r="Q19" s="17"/>
      <c r="R19" s="17"/>
      <c r="S19" s="17"/>
      <c r="T19" s="17"/>
      <c r="U19" s="17"/>
      <c r="V19" s="17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3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1"/>
    </row>
    <row r="20">
      <c r="A20" s="1" t="s">
        <v>65</v>
      </c>
      <c r="B20" s="7">
        <f t="shared" ref="B20:H20" si="24">(B14-SUM(B17:B19))</f>
        <v>542801</v>
      </c>
      <c r="C20" s="1">
        <f t="shared" si="24"/>
        <v>203135</v>
      </c>
      <c r="D20" s="1">
        <f t="shared" si="24"/>
        <v>231400</v>
      </c>
      <c r="E20" s="1">
        <f t="shared" si="24"/>
        <v>389000</v>
      </c>
      <c r="F20" s="1">
        <f t="shared" si="24"/>
        <v>497000</v>
      </c>
      <c r="G20" s="1">
        <f t="shared" si="24"/>
        <v>454000</v>
      </c>
      <c r="H20" s="6">
        <f t="shared" si="24"/>
        <v>430000</v>
      </c>
      <c r="I20" s="1"/>
      <c r="J20" s="1"/>
      <c r="K20" s="1"/>
      <c r="L20" s="1"/>
      <c r="M20" s="1"/>
      <c r="N20" s="1"/>
      <c r="O20" s="17"/>
      <c r="P20" s="17"/>
      <c r="Q20" s="17"/>
      <c r="R20" s="17"/>
      <c r="S20" s="17"/>
      <c r="T20" s="17"/>
      <c r="U20" s="17"/>
      <c r="V20" s="17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3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1"/>
    </row>
    <row r="21">
      <c r="A21" s="1" t="s">
        <v>66</v>
      </c>
      <c r="B21" s="12">
        <f t="shared" ref="B21:H21" si="25">(B20/B14)</f>
        <v>0.5671901776</v>
      </c>
      <c r="C21" s="13">
        <f t="shared" si="25"/>
        <v>0.4573052679</v>
      </c>
      <c r="D21" s="13">
        <f t="shared" si="25"/>
        <v>0.4857262804</v>
      </c>
      <c r="E21" s="13">
        <f t="shared" si="25"/>
        <v>0.5051948052</v>
      </c>
      <c r="F21" s="13">
        <f t="shared" si="25"/>
        <v>0.5966386555</v>
      </c>
      <c r="G21" s="13">
        <f t="shared" si="25"/>
        <v>0.578343949</v>
      </c>
      <c r="H21" s="14">
        <f t="shared" si="25"/>
        <v>0.5657894737</v>
      </c>
      <c r="I21" s="13"/>
      <c r="J21" s="13"/>
      <c r="K21" s="13"/>
      <c r="L21" s="13"/>
      <c r="M21" s="13"/>
      <c r="N21" s="13"/>
      <c r="O21" s="17"/>
      <c r="P21" s="17"/>
      <c r="Q21" s="17"/>
      <c r="R21" s="17"/>
      <c r="S21" s="17"/>
      <c r="T21" s="17"/>
      <c r="U21" s="17"/>
      <c r="V21" s="17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3"/>
      <c r="AQ21" s="2"/>
      <c r="AR21" s="2"/>
      <c r="AS21" s="2"/>
      <c r="AT21" s="2"/>
      <c r="AU21" s="13"/>
      <c r="AV21" s="2"/>
      <c r="AW21" s="2"/>
      <c r="AX21" s="2"/>
      <c r="AY21" s="2"/>
      <c r="AZ21" s="13"/>
      <c r="BA21" s="13"/>
      <c r="BB21" s="12"/>
      <c r="BC21" s="13"/>
    </row>
    <row r="22">
      <c r="A22" s="1" t="s">
        <v>67</v>
      </c>
      <c r="B22" s="7">
        <v>163148.0</v>
      </c>
      <c r="C22" s="1">
        <v>116818.0</v>
      </c>
      <c r="D22" s="1">
        <v>86000.0</v>
      </c>
      <c r="E22" s="1">
        <v>120000.0</v>
      </c>
      <c r="F22" s="1">
        <v>131000.0</v>
      </c>
      <c r="G22" s="1">
        <v>142000.0</v>
      </c>
      <c r="H22" s="6">
        <v>150000.0</v>
      </c>
      <c r="I22" s="1"/>
      <c r="J22" s="1"/>
      <c r="K22" s="1"/>
      <c r="L22" s="1"/>
      <c r="M22" s="1"/>
      <c r="N22" s="1"/>
      <c r="O22" s="17"/>
      <c r="P22" s="17"/>
      <c r="Q22" s="17"/>
      <c r="R22" s="17"/>
      <c r="S22" s="17"/>
      <c r="T22" s="17"/>
      <c r="U22" s="17"/>
      <c r="V22" s="17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3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1"/>
    </row>
    <row r="23">
      <c r="A23" s="1" t="s">
        <v>68</v>
      </c>
      <c r="B23" s="7">
        <v>110974.0</v>
      </c>
      <c r="C23" s="1">
        <v>71797.0</v>
      </c>
      <c r="D23" s="1">
        <v>62000.0</v>
      </c>
      <c r="E23" s="1">
        <v>74000.0</v>
      </c>
      <c r="F23" s="1">
        <v>82000.0</v>
      </c>
      <c r="G23" s="1">
        <v>85000.0</v>
      </c>
      <c r="H23" s="6">
        <v>85000.0</v>
      </c>
      <c r="I23" s="1"/>
      <c r="J23" s="1"/>
      <c r="K23" s="1"/>
      <c r="L23" s="1"/>
      <c r="M23" s="1"/>
      <c r="N23" s="1"/>
      <c r="O23" s="17"/>
      <c r="P23" s="17"/>
      <c r="Q23" s="17"/>
      <c r="R23" s="17"/>
      <c r="S23" s="17"/>
      <c r="T23" s="17"/>
      <c r="U23" s="17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3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1"/>
    </row>
    <row r="24">
      <c r="A24" s="1" t="s">
        <v>69</v>
      </c>
      <c r="B24" s="7">
        <v>72594.0</v>
      </c>
      <c r="C24" s="1">
        <v>36900.0</v>
      </c>
      <c r="D24" s="1">
        <v>34000.0</v>
      </c>
      <c r="E24" s="1">
        <v>51000.0</v>
      </c>
      <c r="F24" s="1">
        <v>53000.0</v>
      </c>
      <c r="G24" s="1">
        <v>55000.0</v>
      </c>
      <c r="H24" s="6">
        <v>55000.0</v>
      </c>
      <c r="I24" s="1"/>
      <c r="J24" s="1"/>
      <c r="K24" s="1"/>
      <c r="L24" s="1"/>
      <c r="M24" s="1"/>
      <c r="N24" s="1"/>
      <c r="O24" s="17"/>
      <c r="P24" s="17"/>
      <c r="Q24" s="17"/>
      <c r="R24" s="17"/>
      <c r="S24" s="17"/>
      <c r="T24" s="17"/>
      <c r="U24" s="17"/>
      <c r="V24" s="17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3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1"/>
    </row>
    <row r="25">
      <c r="A25" s="1" t="s">
        <v>59</v>
      </c>
      <c r="B25" s="7">
        <v>17090.0</v>
      </c>
      <c r="C25" s="1">
        <v>3400.0</v>
      </c>
      <c r="D25" s="1">
        <v>6700.0</v>
      </c>
      <c r="E25" s="1">
        <v>18000.0</v>
      </c>
      <c r="F25" s="1">
        <v>19000.0</v>
      </c>
      <c r="G25" s="1">
        <v>15000.0</v>
      </c>
      <c r="H25" s="6">
        <v>17000.0</v>
      </c>
      <c r="I25" s="1"/>
      <c r="J25" s="1"/>
      <c r="K25" s="1"/>
      <c r="L25" s="1"/>
      <c r="M25" s="1"/>
      <c r="N25" s="1"/>
      <c r="O25" s="17"/>
      <c r="P25" s="17"/>
      <c r="Q25" s="17"/>
      <c r="R25" s="17"/>
      <c r="S25" s="17"/>
      <c r="T25" s="17"/>
      <c r="U25" s="17"/>
      <c r="V25" s="17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3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1"/>
    </row>
    <row r="26">
      <c r="A26" s="1" t="s">
        <v>70</v>
      </c>
      <c r="B26" s="7">
        <f t="shared" ref="B26:H26" si="26">SUM(B17:B25)-B20</f>
        <v>778005.5672</v>
      </c>
      <c r="C26" s="1">
        <f t="shared" si="26"/>
        <v>469980.4573</v>
      </c>
      <c r="D26" s="1">
        <f t="shared" si="26"/>
        <v>433700.4857</v>
      </c>
      <c r="E26" s="1">
        <f t="shared" si="26"/>
        <v>644000.5052</v>
      </c>
      <c r="F26" s="1">
        <f t="shared" si="26"/>
        <v>621000.5966</v>
      </c>
      <c r="G26" s="1">
        <f t="shared" si="26"/>
        <v>628000.5783</v>
      </c>
      <c r="H26" s="6">
        <f t="shared" si="26"/>
        <v>637000.5658</v>
      </c>
      <c r="I26" s="1"/>
      <c r="J26" s="1"/>
      <c r="K26" s="1"/>
      <c r="L26" s="1"/>
      <c r="M26" s="1"/>
      <c r="N26" s="1"/>
      <c r="O26" s="17"/>
      <c r="P26" s="17"/>
      <c r="Q26" s="17"/>
      <c r="R26" s="17"/>
      <c r="S26" s="17"/>
      <c r="T26" s="17"/>
      <c r="U26" s="17"/>
      <c r="V26" s="17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3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1"/>
    </row>
    <row r="27">
      <c r="A27" s="1" t="s">
        <v>71</v>
      </c>
      <c r="B27" s="7">
        <v>96246.0</v>
      </c>
      <c r="C27" s="1">
        <v>100000.0</v>
      </c>
      <c r="D27" s="1">
        <v>95000.0</v>
      </c>
      <c r="E27" s="1">
        <v>98000.0</v>
      </c>
      <c r="F27" s="1">
        <v>101000.0</v>
      </c>
      <c r="G27" s="1">
        <v>97000.0</v>
      </c>
      <c r="H27" s="6">
        <v>79000.0</v>
      </c>
      <c r="I27" s="1"/>
      <c r="J27" s="1"/>
      <c r="K27" s="1"/>
      <c r="L27" s="1"/>
      <c r="M27" s="1"/>
      <c r="N27" s="1"/>
      <c r="O27" s="17"/>
      <c r="P27" s="17"/>
      <c r="Q27" s="17"/>
      <c r="R27" s="17"/>
      <c r="S27" s="17"/>
      <c r="T27" s="17"/>
      <c r="U27" s="17"/>
      <c r="V27" s="17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3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1"/>
    </row>
    <row r="28">
      <c r="A28" s="1" t="s">
        <v>72</v>
      </c>
      <c r="B28" s="7">
        <v>17683.0</v>
      </c>
      <c r="C28" s="1">
        <v>18000.0</v>
      </c>
      <c r="D28" s="1">
        <v>21000.0</v>
      </c>
      <c r="E28" s="1">
        <v>24000.0</v>
      </c>
      <c r="F28" s="1">
        <v>35000.0</v>
      </c>
      <c r="G28" s="1">
        <v>28000.0</v>
      </c>
      <c r="H28" s="6">
        <v>21000.0</v>
      </c>
      <c r="I28" s="1"/>
      <c r="J28" s="1"/>
      <c r="K28" s="1"/>
      <c r="L28" s="1"/>
      <c r="M28" s="1"/>
      <c r="N28" s="1"/>
      <c r="O28" s="17"/>
      <c r="P28" s="17"/>
      <c r="Q28" s="17"/>
      <c r="R28" s="17"/>
      <c r="S28" s="17"/>
      <c r="T28" s="17"/>
      <c r="U28" s="17"/>
      <c r="V28" s="17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3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1"/>
    </row>
    <row r="29">
      <c r="A29" s="4" t="s">
        <v>73</v>
      </c>
      <c r="B29" s="18">
        <f t="shared" ref="B29:L29" si="27">SUM(B17:B28)-B26-B20</f>
        <v>891934.5672</v>
      </c>
      <c r="C29" s="19">
        <f t="shared" si="27"/>
        <v>587980.4573</v>
      </c>
      <c r="D29" s="19">
        <f t="shared" si="27"/>
        <v>549700.4857</v>
      </c>
      <c r="E29" s="19">
        <f t="shared" si="27"/>
        <v>766000.5052</v>
      </c>
      <c r="F29" s="19">
        <f t="shared" si="27"/>
        <v>757000.5966</v>
      </c>
      <c r="G29" s="19">
        <f t="shared" si="27"/>
        <v>753000.5783</v>
      </c>
      <c r="H29" s="20">
        <f t="shared" si="27"/>
        <v>737000.5658</v>
      </c>
      <c r="I29" s="18">
        <f t="shared" si="27"/>
        <v>0</v>
      </c>
      <c r="J29" s="18">
        <f t="shared" si="27"/>
        <v>0</v>
      </c>
      <c r="K29" s="18">
        <f t="shared" si="27"/>
        <v>0</v>
      </c>
      <c r="L29" s="18">
        <f t="shared" si="27"/>
        <v>0</v>
      </c>
      <c r="M29" s="19"/>
      <c r="N29" s="19"/>
      <c r="O29" s="18"/>
      <c r="P29" s="18"/>
      <c r="Q29" s="18"/>
      <c r="R29" s="18"/>
      <c r="S29" s="18"/>
      <c r="T29" s="18"/>
      <c r="U29" s="18"/>
      <c r="V29" s="18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20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8"/>
      <c r="BC29" s="19"/>
    </row>
    <row r="30">
      <c r="A30" s="4"/>
      <c r="B30" s="18"/>
      <c r="C30" s="19"/>
      <c r="D30" s="19"/>
      <c r="E30" s="19"/>
      <c r="F30" s="19"/>
      <c r="G30" s="19"/>
      <c r="H30" s="20"/>
      <c r="I30" s="18"/>
      <c r="J30" s="18"/>
      <c r="K30" s="18"/>
      <c r="L30" s="18"/>
      <c r="M30" s="19"/>
      <c r="N30" s="19"/>
      <c r="O30" s="18"/>
      <c r="P30" s="18"/>
      <c r="Q30" s="18"/>
      <c r="R30" s="18"/>
      <c r="S30" s="18"/>
      <c r="T30" s="18"/>
      <c r="U30" s="18"/>
      <c r="V30" s="18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20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8"/>
      <c r="BC30" s="19"/>
    </row>
    <row r="31">
      <c r="A31" s="9"/>
      <c r="B31" s="17"/>
      <c r="C31" s="19"/>
      <c r="D31" s="19"/>
      <c r="E31" s="19"/>
      <c r="F31" s="19"/>
      <c r="G31" s="19"/>
      <c r="H31" s="20"/>
      <c r="I31" s="19"/>
      <c r="J31" s="19"/>
      <c r="K31" s="19"/>
      <c r="L31" s="19"/>
      <c r="M31" s="19"/>
      <c r="N31" s="19"/>
      <c r="O31" s="17"/>
      <c r="P31" s="17"/>
      <c r="Q31" s="17"/>
      <c r="R31" s="17"/>
      <c r="S31" s="17"/>
      <c r="T31" s="17"/>
      <c r="U31" s="17"/>
      <c r="V31" s="17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3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7"/>
      <c r="BC31" s="19"/>
    </row>
    <row r="32">
      <c r="A32" s="4" t="s">
        <v>74</v>
      </c>
      <c r="B32" s="18">
        <f t="shared" ref="B32:L32" si="28">(B14-B29)</f>
        <v>65065.43281</v>
      </c>
      <c r="C32" s="19">
        <f t="shared" si="28"/>
        <v>-143780.4573</v>
      </c>
      <c r="D32" s="19">
        <f t="shared" si="28"/>
        <v>-73300.48573</v>
      </c>
      <c r="E32" s="19">
        <f t="shared" si="28"/>
        <v>3999.494805</v>
      </c>
      <c r="F32" s="19">
        <f t="shared" si="28"/>
        <v>75999.40336</v>
      </c>
      <c r="G32" s="19">
        <f t="shared" si="28"/>
        <v>31999.42166</v>
      </c>
      <c r="H32" s="20">
        <f t="shared" si="28"/>
        <v>22999.43421</v>
      </c>
      <c r="I32" s="18">
        <f t="shared" si="28"/>
        <v>0</v>
      </c>
      <c r="J32" s="18">
        <f t="shared" si="28"/>
        <v>0</v>
      </c>
      <c r="K32" s="18">
        <f t="shared" si="28"/>
        <v>0</v>
      </c>
      <c r="L32" s="18">
        <f t="shared" si="28"/>
        <v>0</v>
      </c>
      <c r="M32" s="19"/>
      <c r="N32" s="19"/>
      <c r="O32" s="18"/>
      <c r="P32" s="18"/>
      <c r="Q32" s="18"/>
      <c r="R32" s="18"/>
      <c r="S32" s="18"/>
      <c r="T32" s="18"/>
      <c r="U32" s="18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20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8"/>
      <c r="BC32" s="19"/>
    </row>
    <row r="33">
      <c r="A33" s="1" t="s">
        <v>75</v>
      </c>
      <c r="B33" s="17"/>
      <c r="C33" s="13">
        <f t="shared" ref="C33:H33" si="29">((C32-B32)/ABS(B32))</f>
        <v>-3.209782539</v>
      </c>
      <c r="D33" s="13">
        <f t="shared" si="29"/>
        <v>0.4901915942</v>
      </c>
      <c r="E33" s="13">
        <f t="shared" si="29"/>
        <v>1.054563005</v>
      </c>
      <c r="F33" s="13">
        <f t="shared" si="29"/>
        <v>18.0022508</v>
      </c>
      <c r="G33" s="13">
        <f t="shared" si="29"/>
        <v>-0.5789516728</v>
      </c>
      <c r="H33" s="14">
        <f t="shared" si="29"/>
        <v>-0.2812546909</v>
      </c>
      <c r="I33" s="13"/>
      <c r="J33" s="13"/>
      <c r="K33" s="13"/>
      <c r="L33" s="13"/>
      <c r="M33" s="13"/>
      <c r="N33" s="13"/>
      <c r="O33" s="17"/>
      <c r="P33" s="17"/>
      <c r="Q33" s="17"/>
      <c r="R33" s="17"/>
      <c r="S33" s="17"/>
      <c r="T33" s="17"/>
      <c r="U33" s="17"/>
      <c r="V33" s="17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7"/>
      <c r="BC33" s="13"/>
    </row>
    <row r="34">
      <c r="A34" s="1" t="s">
        <v>76</v>
      </c>
      <c r="B34" s="12">
        <f t="shared" ref="B34:H34" si="30">(B32/B14)</f>
        <v>0.067988958</v>
      </c>
      <c r="C34" s="12">
        <f t="shared" si="30"/>
        <v>-0.3236840552</v>
      </c>
      <c r="D34" s="12">
        <f t="shared" si="30"/>
        <v>-0.1538633202</v>
      </c>
      <c r="E34" s="12">
        <f t="shared" si="30"/>
        <v>0.005194149098</v>
      </c>
      <c r="F34" s="12">
        <f t="shared" si="30"/>
        <v>0.09123577834</v>
      </c>
      <c r="G34" s="12">
        <f t="shared" si="30"/>
        <v>0.04076359447</v>
      </c>
      <c r="H34" s="21">
        <f t="shared" si="30"/>
        <v>0.03026241343</v>
      </c>
      <c r="I34" s="13"/>
      <c r="J34" s="13"/>
      <c r="K34" s="13"/>
      <c r="L34" s="13"/>
      <c r="M34" s="13"/>
      <c r="N34" s="13"/>
      <c r="O34" s="17"/>
      <c r="P34" s="17"/>
      <c r="Q34" s="17"/>
      <c r="R34" s="17"/>
      <c r="S34" s="17"/>
      <c r="T34" s="17"/>
      <c r="U34" s="17"/>
      <c r="V34" s="17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7"/>
      <c r="BC34" s="13"/>
    </row>
    <row r="35">
      <c r="A35" s="1" t="s">
        <v>77</v>
      </c>
      <c r="B35" s="7">
        <v>171000.0</v>
      </c>
      <c r="C35" s="1">
        <v>8000.0</v>
      </c>
      <c r="D35" s="1">
        <v>58000.0</v>
      </c>
      <c r="E35" s="1">
        <v>135000.0</v>
      </c>
      <c r="F35" s="1">
        <v>214000.0</v>
      </c>
      <c r="G35" s="1">
        <v>175000.0</v>
      </c>
      <c r="H35" s="6">
        <v>130000.0</v>
      </c>
      <c r="I35" s="18"/>
      <c r="J35" s="18"/>
      <c r="K35" s="18"/>
      <c r="L35" s="18"/>
      <c r="M35" s="19"/>
      <c r="N35" s="19"/>
      <c r="O35" s="18"/>
      <c r="P35" s="18"/>
      <c r="Q35" s="18"/>
      <c r="R35" s="18"/>
      <c r="S35" s="18"/>
      <c r="T35" s="18"/>
      <c r="U35" s="18"/>
      <c r="V35" s="18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20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8"/>
      <c r="BC35" s="19"/>
    </row>
    <row r="36">
      <c r="A36" s="9" t="s">
        <v>78</v>
      </c>
      <c r="B36" s="12">
        <f t="shared" ref="B36:H36" si="31">(B35/B14)</f>
        <v>0.1786833856</v>
      </c>
      <c r="C36" s="12">
        <f t="shared" si="31"/>
        <v>0.01800990545</v>
      </c>
      <c r="D36" s="12">
        <f t="shared" si="31"/>
        <v>0.1217464316</v>
      </c>
      <c r="E36" s="12">
        <f t="shared" si="31"/>
        <v>0.1753246753</v>
      </c>
      <c r="F36" s="12">
        <f t="shared" si="31"/>
        <v>0.2569027611</v>
      </c>
      <c r="G36" s="12">
        <f t="shared" si="31"/>
        <v>0.2229299363</v>
      </c>
      <c r="H36" s="21">
        <f t="shared" si="31"/>
        <v>0.1710526316</v>
      </c>
      <c r="I36" s="19"/>
      <c r="J36" s="19"/>
      <c r="K36" s="19"/>
      <c r="L36" s="19"/>
      <c r="M36" s="19"/>
      <c r="N36" s="19"/>
      <c r="O36" s="17"/>
      <c r="P36" s="17"/>
      <c r="Q36" s="17"/>
      <c r="R36" s="17"/>
      <c r="S36" s="17"/>
      <c r="T36" s="17"/>
      <c r="U36" s="17"/>
      <c r="V36" s="17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3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7"/>
      <c r="BC36" s="19"/>
    </row>
    <row r="37">
      <c r="A37" s="1" t="s">
        <v>79</v>
      </c>
      <c r="B37" s="7">
        <v>578000.0</v>
      </c>
      <c r="C37" s="1">
        <v>705000.0</v>
      </c>
      <c r="D37" s="1">
        <v>780000.0</v>
      </c>
      <c r="E37" s="1">
        <v>853000.0</v>
      </c>
      <c r="F37" s="1">
        <v>649000.0</v>
      </c>
      <c r="G37" s="1">
        <v>556000.0</v>
      </c>
      <c r="H37" s="6">
        <v>445000.0</v>
      </c>
      <c r="I37" s="1"/>
      <c r="J37" s="1"/>
      <c r="K37" s="1"/>
      <c r="L37" s="1"/>
      <c r="M37" s="1"/>
      <c r="N37" s="1"/>
      <c r="O37" s="17"/>
      <c r="P37" s="17"/>
      <c r="Q37" s="17"/>
      <c r="R37" s="17"/>
      <c r="S37" s="17"/>
      <c r="T37" s="17"/>
      <c r="U37" s="17"/>
      <c r="V37" s="17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3"/>
      <c r="AQ37" s="2"/>
      <c r="AR37" s="2"/>
      <c r="AS37" s="2"/>
      <c r="AT37" s="2"/>
      <c r="AU37" s="19"/>
      <c r="AV37" s="2"/>
      <c r="AW37" s="2"/>
      <c r="AX37" s="2"/>
      <c r="AY37" s="2"/>
      <c r="AZ37" s="19"/>
      <c r="BA37" s="19"/>
      <c r="BB37" s="7"/>
      <c r="BC37" s="19"/>
    </row>
    <row r="38">
      <c r="A38" s="1" t="s">
        <v>80</v>
      </c>
      <c r="B38" s="1">
        <v>1.0</v>
      </c>
      <c r="C38" s="1">
        <v>0.75</v>
      </c>
      <c r="D38" s="1">
        <v>0.66</v>
      </c>
      <c r="E38" s="1">
        <v>0.54</v>
      </c>
      <c r="F38" s="1">
        <v>0.62</v>
      </c>
      <c r="G38" s="1">
        <v>0.65</v>
      </c>
      <c r="H38" s="6">
        <v>0.62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3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>
      <c r="A39" s="2"/>
      <c r="B39" s="2"/>
      <c r="C39" s="2"/>
      <c r="D39" s="2"/>
      <c r="E39" s="2"/>
      <c r="F39" s="2"/>
      <c r="G39" s="2"/>
      <c r="H39" s="2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3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>
      <c r="A40" s="2"/>
      <c r="B40" s="2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3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>
      <c r="A41" s="2"/>
      <c r="B41" s="2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3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>
      <c r="A42" s="1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3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>
      <c r="A43" s="1"/>
      <c r="B43" s="2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3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>
      <c r="A44" s="2"/>
      <c r="B44" s="2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3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>
      <c r="A45" s="2"/>
      <c r="B45" s="2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3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>
      <c r="A46" s="2"/>
      <c r="B46" s="2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3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3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>
      <c r="A48" s="2"/>
      <c r="B48" s="2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3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>
      <c r="A49" s="2"/>
      <c r="B49" s="2"/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3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>
      <c r="A50" s="2"/>
      <c r="B50" s="2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3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3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>
      <c r="A52" s="2"/>
      <c r="B52" s="2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3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>
      <c r="A53" s="2"/>
      <c r="B53" s="2"/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3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3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3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3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3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3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3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3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3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3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3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3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3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3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3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3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3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3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3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3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3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3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3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3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3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3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3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3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3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3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3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3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3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3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3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3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3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3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3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3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3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3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3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3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3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3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3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3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3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3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3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3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3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3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3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3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3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3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3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3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3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3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3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3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3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3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3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3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3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3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3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3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3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3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3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3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3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3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3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3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3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3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3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3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3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3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3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3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3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3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3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3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3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3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3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3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3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3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3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3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3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3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3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3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3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3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3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3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3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3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3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3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3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3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3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3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3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3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3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3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3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3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3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3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3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3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3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3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3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3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3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3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3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3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3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3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3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3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3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3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3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3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3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3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3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3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3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3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3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3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3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3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3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3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3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3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3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3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3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3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3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3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3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3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3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3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3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3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3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3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3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3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3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3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3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3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3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3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3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3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3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3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3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3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3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3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3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3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3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3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3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3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3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3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3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3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3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3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3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3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3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3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3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3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3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3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3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3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3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3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3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3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3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3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3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3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3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3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3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3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3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3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3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3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3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3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3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3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3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3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3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3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3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3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3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3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3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3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3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3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3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3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3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3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3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3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3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3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3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3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3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3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3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3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3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3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3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3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3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3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3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3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3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3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3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3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3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3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3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3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3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3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3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3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3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3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3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3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3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3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3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3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3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3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3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3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3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3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3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3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3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3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3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3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3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3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3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3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3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3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3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3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3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3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3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3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3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3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3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3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3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3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3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3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3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3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3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3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3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3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3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3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3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3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3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3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3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3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3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3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3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3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3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3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3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3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3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3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3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3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3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3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3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3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3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3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3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3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3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3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3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3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3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3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3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3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3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3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3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3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3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3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3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3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3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3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3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3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3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3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3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3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3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3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3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3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3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3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3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3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3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3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3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3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3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3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3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3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3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3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3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3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3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3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3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3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3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3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3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3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3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3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3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3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3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3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3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3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3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3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3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3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3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3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3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3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3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3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3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3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3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3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3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3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3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3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3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3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3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3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3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3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3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3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3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3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3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3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3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3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3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3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3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3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3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3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3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3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3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3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3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3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3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3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3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3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3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3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3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3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3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3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3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3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3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3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3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3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3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3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3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3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3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3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3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3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3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3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3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3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3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3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3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3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3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3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3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3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3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3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3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3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3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3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3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3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3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3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3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3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3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3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3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3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3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3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3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3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3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3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3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3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3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3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3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3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3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3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3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3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3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3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3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3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3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3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3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3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3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3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3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3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3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3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3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3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3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3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3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3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3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3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3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3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3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3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3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3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3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3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3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3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3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3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3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3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3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3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3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3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3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3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3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3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3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3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3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3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3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3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3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3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3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3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3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3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3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3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3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3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3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3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3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3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3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3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3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3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3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3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3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3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3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3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3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3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3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3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3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3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3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3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3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3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3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3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3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3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3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3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3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3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3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3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3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3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3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3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3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3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3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3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3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3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3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3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3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3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3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3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3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3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3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3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3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3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3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3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3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3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3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3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3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3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3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3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3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3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3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3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3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3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3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3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3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3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3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3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3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3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3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3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3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3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3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3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3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3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3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3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3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3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3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3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3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3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3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3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3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3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3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3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3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3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3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3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3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3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3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3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3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3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3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3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3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3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3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3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3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3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3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3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3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3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3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3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3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3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3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3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3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3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3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3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3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3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3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3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3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3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3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3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3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3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3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3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3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3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3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3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3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3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3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3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3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3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3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3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3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3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3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3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3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3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3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3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3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3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3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3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3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3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3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3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3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3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3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3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3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3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3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3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3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3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3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3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3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3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3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3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3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3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3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3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3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3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3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3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3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3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3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3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3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3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3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3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3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3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3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3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3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3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3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3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3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3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3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3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3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3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3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3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3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3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3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3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3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3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3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3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3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3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3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3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3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3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3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3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3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3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3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3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3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3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3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3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3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3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3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3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3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3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3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3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3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3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3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3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3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3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3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3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3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3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3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3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3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3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3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3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3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3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3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3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3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3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3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3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3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3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3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3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3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3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3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3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3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3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3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3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3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3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3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3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3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3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3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3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3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3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3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3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3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3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3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3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3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3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3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3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3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3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3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3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3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3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3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3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3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3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3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3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3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3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3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3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3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3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3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3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3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3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3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3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3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3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3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3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3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3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3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3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3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3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3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3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3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3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3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3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3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3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3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3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3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3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3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3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3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3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3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3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3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3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3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3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3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3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  <row r="1001">
      <c r="A1001" s="2"/>
      <c r="B1001" s="2"/>
      <c r="C1001" s="2"/>
      <c r="D1001" s="2"/>
      <c r="E1001" s="2"/>
      <c r="F1001" s="2"/>
      <c r="G1001" s="2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3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</row>
    <row r="1002">
      <c r="A1002" s="2"/>
      <c r="B1002" s="2"/>
      <c r="C1002" s="2"/>
      <c r="D1002" s="2"/>
      <c r="E1002" s="2"/>
      <c r="F1002" s="2"/>
      <c r="G1002" s="2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3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</row>
    <row r="1003">
      <c r="A1003" s="2"/>
      <c r="B1003" s="2"/>
      <c r="C1003" s="2"/>
      <c r="D1003" s="2"/>
      <c r="E1003" s="2"/>
      <c r="F1003" s="2"/>
      <c r="G1003" s="2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3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</row>
    <row r="1004">
      <c r="A1004" s="2"/>
      <c r="B1004" s="2"/>
      <c r="C1004" s="2"/>
      <c r="D1004" s="2"/>
      <c r="E1004" s="2"/>
      <c r="F1004" s="2"/>
      <c r="G1004" s="2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3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</row>
    <row r="1005">
      <c r="A1005" s="2"/>
      <c r="B1005" s="2"/>
      <c r="C1005" s="2"/>
      <c r="D1005" s="2"/>
      <c r="E1005" s="2"/>
      <c r="F1005" s="2"/>
      <c r="G1005" s="2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3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</row>
    <row r="1006">
      <c r="A1006" s="2"/>
      <c r="B1006" s="2"/>
      <c r="C1006" s="2"/>
      <c r="D1006" s="2"/>
      <c r="E1006" s="2"/>
      <c r="F1006" s="2"/>
      <c r="G1006" s="2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3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</row>
    <row r="1007">
      <c r="A1007" s="2"/>
      <c r="B1007" s="2"/>
      <c r="C1007" s="2"/>
      <c r="D1007" s="2"/>
      <c r="E1007" s="2"/>
      <c r="F1007" s="2"/>
      <c r="G1007" s="2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3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</row>
    <row r="1008">
      <c r="A1008" s="2"/>
      <c r="B1008" s="2"/>
      <c r="C1008" s="2"/>
      <c r="D1008" s="2"/>
      <c r="E1008" s="2"/>
      <c r="F1008" s="2"/>
      <c r="G1008" s="2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3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</row>
    <row r="1009">
      <c r="A1009" s="2"/>
      <c r="B1009" s="2"/>
      <c r="C1009" s="2"/>
      <c r="D1009" s="2"/>
      <c r="E1009" s="2"/>
      <c r="F1009" s="2"/>
      <c r="G1009" s="2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3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</row>
    <row r="1010">
      <c r="A1010" s="2"/>
      <c r="B1010" s="2"/>
      <c r="C1010" s="2"/>
      <c r="D1010" s="2"/>
      <c r="E1010" s="2"/>
      <c r="F1010" s="2"/>
      <c r="G1010" s="2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3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</row>
    <row r="1011">
      <c r="A1011" s="2"/>
      <c r="B1011" s="2"/>
      <c r="C1011" s="2"/>
      <c r="D1011" s="2"/>
      <c r="E1011" s="2"/>
      <c r="F1011" s="2"/>
      <c r="G1011" s="2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3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</row>
    <row r="1012">
      <c r="A1012" s="2"/>
      <c r="B1012" s="2"/>
      <c r="C1012" s="2"/>
      <c r="D1012" s="2"/>
      <c r="E1012" s="2"/>
      <c r="F1012" s="2"/>
      <c r="G1012" s="2"/>
      <c r="H1012" s="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3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</row>
    <row r="1013">
      <c r="A1013" s="2"/>
      <c r="B1013" s="2"/>
      <c r="C1013" s="2"/>
      <c r="D1013" s="2"/>
      <c r="E1013" s="2"/>
      <c r="F1013" s="2"/>
      <c r="G1013" s="2"/>
      <c r="H1013" s="3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3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</row>
    <row r="1014">
      <c r="A1014" s="2"/>
      <c r="B1014" s="2"/>
      <c r="C1014" s="2"/>
      <c r="D1014" s="2"/>
      <c r="E1014" s="2"/>
      <c r="F1014" s="2"/>
      <c r="G1014" s="2"/>
      <c r="H1014" s="3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3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</row>
    <row r="1015">
      <c r="A1015" s="2"/>
      <c r="B1015" s="2"/>
      <c r="C1015" s="2"/>
      <c r="D1015" s="2"/>
      <c r="E1015" s="2"/>
      <c r="F1015" s="2"/>
      <c r="G1015" s="2"/>
      <c r="H1015" s="3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3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</row>
    <row r="1016">
      <c r="A1016" s="2"/>
      <c r="B1016" s="2"/>
      <c r="C1016" s="2"/>
      <c r="D1016" s="2"/>
      <c r="E1016" s="2"/>
      <c r="F1016" s="2"/>
      <c r="G1016" s="2"/>
      <c r="H1016" s="3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3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</row>
    <row r="1017">
      <c r="A1017" s="2"/>
      <c r="B1017" s="2"/>
      <c r="C1017" s="2"/>
      <c r="D1017" s="2"/>
      <c r="E1017" s="2"/>
      <c r="F1017" s="2"/>
      <c r="G1017" s="2"/>
      <c r="H1017" s="3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3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81</v>
      </c>
    </row>
    <row r="2">
      <c r="A2" s="23" t="s">
        <v>82</v>
      </c>
      <c r="E2" s="23" t="s">
        <v>83</v>
      </c>
      <c r="F2" s="1">
        <v>0.61</v>
      </c>
    </row>
    <row r="3">
      <c r="A3" s="23" t="s">
        <v>84</v>
      </c>
      <c r="E3" s="23" t="s">
        <v>85</v>
      </c>
      <c r="F3" s="1">
        <v>743569.0</v>
      </c>
    </row>
    <row r="4">
      <c r="A4" s="23" t="s">
        <v>86</v>
      </c>
      <c r="E4" s="23" t="s">
        <v>87</v>
      </c>
      <c r="F4" s="2">
        <f>(F2*F3)</f>
        <v>453577.09</v>
      </c>
    </row>
    <row r="5">
      <c r="A5" s="23" t="s">
        <v>88</v>
      </c>
      <c r="E5" s="23" t="s">
        <v>89</v>
      </c>
      <c r="F5" s="1">
        <v>13491.0</v>
      </c>
      <c r="G5" s="2"/>
    </row>
    <row r="6">
      <c r="A6" s="23" t="s">
        <v>90</v>
      </c>
      <c r="E6" s="23"/>
      <c r="F6" s="1"/>
      <c r="G6" s="2"/>
    </row>
    <row r="7">
      <c r="A7" s="23" t="s">
        <v>91</v>
      </c>
      <c r="E7" s="23" t="s">
        <v>79</v>
      </c>
      <c r="F7" s="1">
        <v>445900.0</v>
      </c>
    </row>
    <row r="8">
      <c r="E8" s="23" t="s">
        <v>92</v>
      </c>
      <c r="F8" s="2">
        <f>(F4-F5+F7)</f>
        <v>885986.09</v>
      </c>
    </row>
    <row r="9">
      <c r="A9" s="23" t="s">
        <v>93</v>
      </c>
    </row>
    <row r="10">
      <c r="A10" s="23" t="s">
        <v>94</v>
      </c>
    </row>
    <row r="11">
      <c r="A11" s="23" t="s">
        <v>95</v>
      </c>
    </row>
    <row r="12">
      <c r="A12" s="23" t="s">
        <v>96</v>
      </c>
    </row>
    <row r="13">
      <c r="A13" s="23" t="s">
        <v>97</v>
      </c>
    </row>
    <row r="14">
      <c r="A14" s="23" t="s">
        <v>98</v>
      </c>
    </row>
    <row r="15">
      <c r="A15" s="23" t="s">
        <v>99</v>
      </c>
    </row>
    <row r="17">
      <c r="A17" s="23" t="s">
        <v>100</v>
      </c>
    </row>
    <row r="19">
      <c r="A19" s="23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5" t="s">
        <v>8</v>
      </c>
    </row>
    <row r="6">
      <c r="A6" s="1" t="s">
        <v>102</v>
      </c>
      <c r="B6" s="2">
        <v>1.116771159874608</v>
      </c>
      <c r="C6" s="2">
        <v>0.11256190904997748</v>
      </c>
      <c r="D6" s="2">
        <v>0.7609151973131822</v>
      </c>
      <c r="E6" s="2">
        <v>1.0957792207792207</v>
      </c>
      <c r="F6" s="2">
        <v>1.605642256902761</v>
      </c>
      <c r="G6" s="2">
        <v>1.393312101910828</v>
      </c>
      <c r="H6" s="2">
        <v>1.069078947368421</v>
      </c>
    </row>
    <row r="7">
      <c r="A7" s="1" t="s">
        <v>103</v>
      </c>
      <c r="B7" s="2">
        <v>1.4492753623188408</v>
      </c>
      <c r="C7" s="2">
        <v>1.0869565217391306</v>
      </c>
      <c r="D7" s="2">
        <v>0.9565217391304349</v>
      </c>
      <c r="E7" s="2">
        <v>0.7826086956521741</v>
      </c>
      <c r="F7" s="2">
        <v>0.8985507246376813</v>
      </c>
      <c r="G7" s="2">
        <v>0.9420289855072465</v>
      </c>
      <c r="H7" s="2">
        <v>0.8985507246376813</v>
      </c>
    </row>
  </sheetData>
  <drawing r:id="rId1"/>
</worksheet>
</file>